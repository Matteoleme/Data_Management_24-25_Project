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 semplice" sheetId="1" r:id="rId4"/>
    <sheet state="visible" name="Filtro semplice" sheetId="2" r:id="rId5"/>
    <sheet state="visible" name="Join completo" sheetId="3" r:id="rId6"/>
    <sheet state="visible" name="Group By" sheetId="4" r:id="rId7"/>
    <sheet state="visible" name="Group By con Join" sheetId="5" r:id="rId8"/>
  </sheets>
  <definedNames/>
  <calcPr/>
</workbook>
</file>

<file path=xl/sharedStrings.xml><?xml version="1.0" encoding="utf-8"?>
<sst xmlns="http://schemas.openxmlformats.org/spreadsheetml/2006/main" count="89" uniqueCount="31">
  <si>
    <t>Average</t>
  </si>
  <si>
    <t>Query</t>
  </si>
  <si>
    <t>SELECT *
FROM flights</t>
  </si>
  <si>
    <t>SQL</t>
  </si>
  <si>
    <t>Client</t>
  </si>
  <si>
    <t>Server</t>
  </si>
  <si>
    <t>find.{}</t>
  </si>
  <si>
    <t>NoSQL</t>
  </si>
  <si>
    <t>NoSQL Denormalization 1</t>
  </si>
  <si>
    <t>NoSQL Denormalization 2</t>
  </si>
  <si>
    <t>No Cache</t>
  </si>
  <si>
    <t>Cache</t>
  </si>
  <si>
    <t>select *
from flights f 
where f."ORIGIN_AIRPORT" = 'LAX'</t>
  </si>
  <si>
    <t>{"ORIGIN_AIRPORT" = 'LAX' }</t>
  </si>
  <si>
    <t>{"ORIGIN.CODE": "LAX"}</t>
  </si>
  <si>
    <t>NoSQL Denormalized 1</t>
  </si>
  <si>
    <t>{"ORG_AIRPORT": "LAX"}</t>
  </si>
  <si>
    <t>NoSQL Denormalized 2</t>
  </si>
  <si>
    <t xml:space="preserve">select * from flights f join airlines a on f."AIRLINE" = a."IATA_CODE" join airports air on 
			f."ORIGIN_AIRPORT" = air."IATA_CODE" join airports air2 on f."DESTINATION_AIRPORT" = air2."IATA_CODE" </t>
  </si>
  <si>
    <t>[
    {
        '$lookup': {
            'from': 'airlines', 
            'localField': 'AIRLINE', 
            'foreignField': 'IATA_CODE', 
            'as': 'airline_info'
        }
    }, {
        '$lookup': {
            'from': 'airports', 
            'localField': 'ORIGIN_AIRPORT', 
            'foreignField': 'IATA_CODE', 
            'as': 'origin_airport_info'
        }
    }, {
        '$lookup': {
            'from': 'airports', 
            'localField': 'DESTINATION_AIRPORT', 
            'foreignField': 'IATA_CODE', 
            'as': 'destination_airport_info'
        }
    }, {
        '$unwind': '$airline_info'
    }, {
        '$unwind': '$origin_airport_info'
    }, {
        '$unwind': '$destination_airport_info'
    }
]</t>
  </si>
  <si>
    <t>{}</t>
  </si>
  <si>
    <t>select f."AIRLINE", count(*) as number_airlines
from flights f 
group by f."AIRLINE</t>
  </si>
  <si>
    <t>{'$group': 
        {
            '_id': "$AIRLINE",
            'number_airlines': { '$sum': 1 }
        }
    }</t>
  </si>
  <si>
    <t>select a."AIRLINE", count(*) as number_airlines
from flights f join airlines a on f."AIRLINE" = a."IATA_CODE" 
group by f."AIRLINE", a."AIRLINE"</t>
  </si>
  <si>
    <t>[
    {
        '$lookup': {
            'from': 'airlines', 
            'localField': 'AIRLINE', 
            'foreignField': 'IATA_CODE', 
            'as': 'airline_details'
        }
    }, {
        '$unwind': '$airline_details'
    }, {
        '$group': {
            '_id': '$AIRLINE', 
            'count': {
                '$sum': 1
            }, 
            'airline_name': {
                '$first': '$airline_details.AIRLINE'
            }
        }
    }
]</t>
  </si>
  <si>
    <t>airlinesDB</t>
  </si>
  <si>
    <t>[
    {
        '$group': {
            '_id': '$AIRLINE.NAME', 
            'count': {
                '$sum': 1
            }
        }
    }
]</t>
  </si>
  <si>
    <t>AirlineDenorm</t>
  </si>
  <si>
    <t>AirlineDenorm2</t>
  </si>
  <si>
    <t>[
    {
        '$group': {
            '_id': '$AIRLINE', 
            'count': {
                '$sum': 1
            }
        }
    }, {
        '$lookup': {
            'from': 'airlines', 
            'localField': '_id', 
            'foreignField': 'IATA_CODE', 
            'as': 'airline_info'
        }
    }, {
        '$unwind': '$airline_info'
    }, {
        '$project': {
            '_id': 0, 
            'airline': '$airline_info.AIRLINE', 
            'count': 1
        }
    }
]</t>
  </si>
  <si>
    <t>NoSQL Normalized Optimized Query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</si>
</sst>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sz val="11.0"/>
      <color rgb="FF000000"/>
      <name val="Arial"/>
      <scheme val="minor"/>
    </font>
    <font/>
    <font>
      <sz val="11.0"/>
      <color rgb="FF000000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1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readingOrder="0"/>
    </xf>
    <xf borderId="4" fillId="0" fontId="3" numFmtId="0" xfId="0" applyBorder="1" applyFont="1"/>
    <xf borderId="5" fillId="0" fontId="3" numFmtId="0" xfId="0" applyBorder="1" applyFont="1"/>
    <xf borderId="1" fillId="0" fontId="3" numFmtId="0" xfId="0" applyAlignment="1" applyBorder="1" applyFont="1">
      <alignment readingOrder="0"/>
    </xf>
    <xf borderId="6" fillId="0" fontId="2" numFmtId="0" xfId="0" applyBorder="1" applyFont="1"/>
    <xf borderId="7" fillId="0" fontId="3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8" fillId="0" fontId="1" numFmtId="0" xfId="0" applyBorder="1" applyFont="1"/>
    <xf borderId="4" fillId="0" fontId="1" numFmtId="0" xfId="0" applyBorder="1" applyFont="1"/>
    <xf borderId="9" fillId="0" fontId="1" numFmtId="0" xfId="0" applyBorder="1" applyFont="1"/>
    <xf borderId="11" fillId="0" fontId="2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0" fillId="0" fontId="4" numFmtId="0" xfId="0" applyAlignment="1" applyFont="1">
      <alignment readingOrder="0"/>
    </xf>
    <xf borderId="0" fillId="0" fontId="5" numFmtId="0" xfId="0" applyFont="1"/>
    <xf borderId="15" fillId="0" fontId="5" numFmtId="0" xfId="0" applyBorder="1" applyFont="1"/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1" fillId="0" fontId="5" numFmtId="0" xfId="0" applyBorder="1" applyFont="1"/>
    <xf borderId="16" fillId="0" fontId="5" numFmtId="0" xfId="0" applyBorder="1" applyFont="1"/>
    <xf borderId="17" fillId="0" fontId="5" numFmtId="0" xfId="0" applyAlignment="1" applyBorder="1" applyFont="1">
      <alignment readingOrder="0"/>
    </xf>
    <xf borderId="18" fillId="0" fontId="2" numFmtId="0" xfId="0" applyBorder="1" applyFont="1"/>
    <xf borderId="19" fillId="0" fontId="2" numFmtId="0" xfId="0" applyBorder="1" applyFont="1"/>
    <xf borderId="5" fillId="0" fontId="5" numFmtId="0" xfId="0" applyAlignment="1" applyBorder="1" applyFont="1">
      <alignment readingOrder="0"/>
    </xf>
    <xf borderId="20" fillId="0" fontId="2" numFmtId="0" xfId="0" applyBorder="1" applyFont="1"/>
    <xf borderId="8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8" fillId="0" fontId="5" numFmtId="164" xfId="0" applyBorder="1" applyFont="1" applyNumberFormat="1"/>
    <xf borderId="4" fillId="0" fontId="5" numFmtId="164" xfId="0" applyBorder="1" applyFont="1" applyNumberFormat="1"/>
    <xf borderId="9" fillId="0" fontId="5" numFmtId="164" xfId="0" applyBorder="1" applyFont="1" applyNumberFormat="1"/>
    <xf borderId="10" fillId="0" fontId="5" numFmtId="0" xfId="0" applyAlignment="1" applyBorder="1" applyFont="1">
      <alignment readingOrder="0" shrinkToFit="0" wrapText="1"/>
    </xf>
    <xf borderId="12" fillId="0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14" fillId="0" fontId="5" numFmtId="0" xfId="0" applyAlignment="1" applyBorder="1" applyFont="1">
      <alignment readingOrder="0"/>
    </xf>
    <xf borderId="12" fillId="0" fontId="5" numFmtId="164" xfId="0" applyBorder="1" applyFont="1" applyNumberFormat="1"/>
    <xf borderId="13" fillId="0" fontId="5" numFmtId="164" xfId="0" applyBorder="1" applyFont="1" applyNumberFormat="1"/>
    <xf borderId="14" fillId="0" fontId="5" numFmtId="164" xfId="0" applyBorder="1" applyFont="1" applyNumberFormat="1"/>
    <xf borderId="0" fillId="0" fontId="6" numFmtId="0" xfId="0" applyAlignment="1" applyFont="1">
      <alignment readingOrder="0"/>
    </xf>
    <xf borderId="4" fillId="0" fontId="5" numFmtId="0" xfId="0" applyBorder="1" applyFont="1"/>
    <xf borderId="5" fillId="0" fontId="5" numFmtId="0" xfId="0" applyBorder="1" applyFont="1"/>
    <xf borderId="1" fillId="0" fontId="5" numFmtId="0" xfId="0" applyAlignment="1" applyBorder="1" applyFont="1">
      <alignment readingOrder="0"/>
    </xf>
    <xf borderId="8" fillId="0" fontId="5" numFmtId="0" xfId="0" applyBorder="1" applyFont="1"/>
    <xf borderId="9" fillId="0" fontId="5" numFmtId="0" xfId="0" applyBorder="1" applyFont="1"/>
    <xf borderId="8" fillId="0" fontId="5" numFmtId="0" xfId="0" applyBorder="1" applyFont="1"/>
    <xf borderId="4" fillId="0" fontId="5" numFmtId="0" xfId="0" applyBorder="1" applyFont="1"/>
    <xf borderId="9" fillId="0" fontId="5" numFmtId="0" xfId="0" applyBorder="1" applyFont="1"/>
    <xf borderId="10" fillId="0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21" fillId="0" fontId="5" numFmtId="0" xfId="0" applyAlignment="1" applyBorder="1" applyFont="1">
      <alignment horizontal="center" readingOrder="0"/>
    </xf>
    <xf borderId="22" fillId="0" fontId="2" numFmtId="0" xfId="0" applyBorder="1" applyFont="1"/>
    <xf borderId="23" fillId="0" fontId="2" numFmtId="0" xfId="0" applyBorder="1" applyFont="1"/>
    <xf borderId="24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25" fillId="0" fontId="5" numFmtId="0" xfId="0" applyAlignment="1" applyBorder="1" applyFont="1">
      <alignment readingOrder="0"/>
    </xf>
    <xf borderId="16" fillId="0" fontId="5" numFmtId="0" xfId="0" applyAlignment="1" applyBorder="1" applyFont="1">
      <alignment readingOrder="0"/>
    </xf>
    <xf borderId="26" fillId="0" fontId="5" numFmtId="0" xfId="0" applyBorder="1" applyFont="1"/>
    <xf borderId="27" fillId="0" fontId="5" numFmtId="0" xfId="0" applyBorder="1" applyFont="1"/>
    <xf borderId="28" fillId="0" fontId="5" numFmtId="0" xfId="0" applyAlignment="1" applyBorder="1" applyFont="1">
      <alignment readingOrder="0"/>
    </xf>
    <xf borderId="29" fillId="0" fontId="5" numFmtId="0" xfId="0" applyAlignment="1" applyBorder="1" applyFont="1">
      <alignment readingOrder="0"/>
    </xf>
    <xf borderId="30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4" max="4" width="6.5"/>
    <col customWidth="1" min="5" max="8" width="4.75"/>
    <col customWidth="1" min="9" max="9" width="7.5"/>
    <col customWidth="1" min="10" max="13" width="5.63"/>
    <col customWidth="1" min="14" max="16" width="7.5"/>
    <col customWidth="1" min="17" max="17" width="7.38"/>
    <col customWidth="1" min="18" max="18" width="7.5"/>
  </cols>
  <sheetData>
    <row r="4" ht="20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" t="s">
        <v>0</v>
      </c>
      <c r="T4" s="3"/>
      <c r="U4" s="4"/>
    </row>
    <row r="5">
      <c r="A5" s="5" t="s">
        <v>1</v>
      </c>
      <c r="B5" s="6"/>
      <c r="C5" s="7"/>
      <c r="D5" s="8">
        <v>100000.0</v>
      </c>
      <c r="E5" s="3"/>
      <c r="F5" s="3"/>
      <c r="G5" s="3"/>
      <c r="H5" s="9"/>
      <c r="I5" s="10">
        <v>1000000.0</v>
      </c>
      <c r="J5" s="3"/>
      <c r="K5" s="3"/>
      <c r="L5" s="3"/>
      <c r="M5" s="9"/>
      <c r="N5" s="10">
        <v>5000000.0</v>
      </c>
      <c r="O5" s="3"/>
      <c r="P5" s="3"/>
      <c r="Q5" s="3"/>
      <c r="R5" s="4"/>
      <c r="S5" s="11">
        <v>100000.0</v>
      </c>
      <c r="T5" s="12">
        <v>1000000.0</v>
      </c>
      <c r="U5" s="13">
        <v>5000000.0</v>
      </c>
    </row>
    <row r="6">
      <c r="A6" s="5" t="s">
        <v>2</v>
      </c>
      <c r="B6" s="14" t="s">
        <v>3</v>
      </c>
      <c r="C6" s="15" t="s">
        <v>4</v>
      </c>
      <c r="D6" s="16">
        <v>359.0</v>
      </c>
      <c r="E6" s="17">
        <v>319.0</v>
      </c>
      <c r="F6" s="17">
        <v>313.0</v>
      </c>
      <c r="G6" s="17">
        <v>320.0</v>
      </c>
      <c r="H6" s="17">
        <v>320.0</v>
      </c>
      <c r="I6" s="17">
        <v>3241.0</v>
      </c>
      <c r="J6" s="17">
        <v>3135.0</v>
      </c>
      <c r="K6" s="17">
        <v>3134.0</v>
      </c>
      <c r="L6" s="17">
        <v>3145.0</v>
      </c>
      <c r="M6" s="17">
        <v>3131.0</v>
      </c>
      <c r="N6" s="17">
        <v>16736.0</v>
      </c>
      <c r="O6" s="17">
        <v>15635.0</v>
      </c>
      <c r="P6" s="17">
        <v>15561.0</v>
      </c>
      <c r="Q6" s="17">
        <v>15747.0</v>
      </c>
      <c r="R6" s="18">
        <v>16371.0</v>
      </c>
      <c r="S6" s="19">
        <f t="shared" ref="S6:S13" si="1">AVERAGE(D6:H6)</f>
        <v>326.2</v>
      </c>
      <c r="T6" s="20">
        <f t="shared" ref="T6:T13" si="2">AVERAGE(I6:M6)</f>
        <v>3157.2</v>
      </c>
      <c r="U6" s="21">
        <f t="shared" ref="U6:U13" si="3">AVERAGE(N6:R6)</f>
        <v>16010</v>
      </c>
    </row>
    <row r="7">
      <c r="B7" s="22"/>
      <c r="C7" s="15" t="s">
        <v>5</v>
      </c>
      <c r="D7" s="16">
        <v>26.0</v>
      </c>
      <c r="E7" s="17">
        <v>33.0</v>
      </c>
      <c r="F7" s="17">
        <v>34.0</v>
      </c>
      <c r="G7" s="17">
        <v>41.0</v>
      </c>
      <c r="H7" s="17">
        <v>28.0</v>
      </c>
      <c r="I7" s="17">
        <v>276.0</v>
      </c>
      <c r="J7" s="17">
        <v>279.0</v>
      </c>
      <c r="K7" s="17">
        <v>202.0</v>
      </c>
      <c r="L7" s="17">
        <v>181.0</v>
      </c>
      <c r="M7" s="17">
        <v>189.0</v>
      </c>
      <c r="N7" s="17">
        <v>910.0</v>
      </c>
      <c r="O7" s="17">
        <v>908.0</v>
      </c>
      <c r="P7" s="17">
        <v>880.0</v>
      </c>
      <c r="Q7" s="17">
        <v>1038.0</v>
      </c>
      <c r="R7" s="18">
        <v>1095.0</v>
      </c>
      <c r="S7" s="19">
        <f t="shared" si="1"/>
        <v>32.4</v>
      </c>
      <c r="T7" s="20">
        <f t="shared" si="2"/>
        <v>225.4</v>
      </c>
      <c r="U7" s="21">
        <f t="shared" si="3"/>
        <v>966.2</v>
      </c>
    </row>
    <row r="8">
      <c r="A8" s="5" t="s">
        <v>6</v>
      </c>
      <c r="B8" s="14" t="s">
        <v>7</v>
      </c>
      <c r="C8" s="15" t="s">
        <v>4</v>
      </c>
      <c r="D8" s="16">
        <v>1011.0</v>
      </c>
      <c r="E8" s="17">
        <v>1168.0</v>
      </c>
      <c r="F8" s="17">
        <v>1183.0</v>
      </c>
      <c r="G8" s="17">
        <v>1125.0</v>
      </c>
      <c r="H8" s="17">
        <v>1129.0</v>
      </c>
      <c r="I8" s="17">
        <v>14753.0</v>
      </c>
      <c r="J8" s="17">
        <v>13942.0</v>
      </c>
      <c r="K8" s="17">
        <v>14808.0</v>
      </c>
      <c r="L8" s="17">
        <v>13157.0</v>
      </c>
      <c r="M8" s="17">
        <v>14347.0</v>
      </c>
      <c r="N8" s="17">
        <v>268898.0</v>
      </c>
      <c r="O8" s="17">
        <v>323438.0</v>
      </c>
      <c r="P8" s="17">
        <v>272998.0</v>
      </c>
      <c r="Q8" s="17">
        <v>299892.0</v>
      </c>
      <c r="R8" s="18">
        <v>304544.0</v>
      </c>
      <c r="S8" s="19">
        <f t="shared" si="1"/>
        <v>1123.2</v>
      </c>
      <c r="T8" s="20">
        <f t="shared" si="2"/>
        <v>14201.4</v>
      </c>
      <c r="U8" s="21">
        <f t="shared" si="3"/>
        <v>293954</v>
      </c>
    </row>
    <row r="9">
      <c r="B9" s="22"/>
      <c r="C9" s="15" t="s">
        <v>5</v>
      </c>
      <c r="D9" s="16">
        <v>30.0</v>
      </c>
      <c r="E9" s="17">
        <v>37.0</v>
      </c>
      <c r="F9" s="17">
        <v>27.0</v>
      </c>
      <c r="G9" s="17">
        <v>25.0</v>
      </c>
      <c r="H9" s="17">
        <v>23.0</v>
      </c>
      <c r="I9" s="17">
        <v>258.0</v>
      </c>
      <c r="J9" s="17">
        <v>246.0</v>
      </c>
      <c r="K9" s="17">
        <v>233.0</v>
      </c>
      <c r="L9" s="17">
        <v>237.0</v>
      </c>
      <c r="M9" s="17">
        <v>260.0</v>
      </c>
      <c r="N9" s="17">
        <v>11612.0</v>
      </c>
      <c r="O9" s="17">
        <v>12857.0</v>
      </c>
      <c r="P9" s="17">
        <v>12179.0</v>
      </c>
      <c r="Q9" s="17">
        <v>12500.0</v>
      </c>
      <c r="R9" s="18">
        <v>12062.0</v>
      </c>
      <c r="S9" s="19">
        <f t="shared" si="1"/>
        <v>28.4</v>
      </c>
      <c r="T9" s="20">
        <f t="shared" si="2"/>
        <v>246.8</v>
      </c>
      <c r="U9" s="21">
        <f t="shared" si="3"/>
        <v>12242</v>
      </c>
    </row>
    <row r="10">
      <c r="A10" s="1"/>
      <c r="B10" s="14" t="s">
        <v>8</v>
      </c>
      <c r="C10" s="15" t="s">
        <v>4</v>
      </c>
      <c r="D10" s="11">
        <v>1478.0</v>
      </c>
      <c r="E10" s="12">
        <v>1345.0</v>
      </c>
      <c r="F10" s="12">
        <v>1387.0</v>
      </c>
      <c r="G10" s="12">
        <v>1409.0</v>
      </c>
      <c r="H10" s="12">
        <v>1413.0</v>
      </c>
      <c r="I10" s="12">
        <v>16298.0</v>
      </c>
      <c r="J10" s="12">
        <v>16785.0</v>
      </c>
      <c r="K10" s="12">
        <v>15539.0</v>
      </c>
      <c r="L10" s="12">
        <v>15583.0</v>
      </c>
      <c r="M10" s="12">
        <v>15486.0</v>
      </c>
      <c r="N10" s="12">
        <v>821987.0</v>
      </c>
      <c r="O10" s="12">
        <v>1293219.0</v>
      </c>
      <c r="P10" s="12">
        <v>1186102.0</v>
      </c>
      <c r="Q10" s="12">
        <v>891387.0</v>
      </c>
      <c r="R10" s="13">
        <v>1035099.0</v>
      </c>
      <c r="S10" s="19">
        <f t="shared" si="1"/>
        <v>1406.4</v>
      </c>
      <c r="T10" s="20">
        <f t="shared" si="2"/>
        <v>15938.2</v>
      </c>
      <c r="U10" s="21">
        <f t="shared" si="3"/>
        <v>1045558.8</v>
      </c>
    </row>
    <row r="11">
      <c r="A11" s="1"/>
      <c r="B11" s="22"/>
      <c r="C11" s="15" t="s">
        <v>5</v>
      </c>
      <c r="D11" s="11">
        <v>21.0</v>
      </c>
      <c r="E11" s="12">
        <v>22.0</v>
      </c>
      <c r="F11" s="12">
        <v>17.0</v>
      </c>
      <c r="G11" s="12">
        <v>16.0</v>
      </c>
      <c r="H11" s="12">
        <v>16.0</v>
      </c>
      <c r="I11" s="12">
        <v>227.0</v>
      </c>
      <c r="J11" s="12">
        <v>192.0</v>
      </c>
      <c r="K11" s="12">
        <v>169.0</v>
      </c>
      <c r="L11" s="12">
        <v>167.0</v>
      </c>
      <c r="M11" s="12">
        <v>166.0</v>
      </c>
      <c r="N11" s="12">
        <v>9561.0</v>
      </c>
      <c r="O11" s="12">
        <v>12292.0</v>
      </c>
      <c r="P11" s="12">
        <v>10950.0</v>
      </c>
      <c r="Q11" s="12">
        <v>10244.0</v>
      </c>
      <c r="R11" s="13">
        <v>10954.0</v>
      </c>
      <c r="S11" s="19">
        <f t="shared" si="1"/>
        <v>18.4</v>
      </c>
      <c r="T11" s="20">
        <f t="shared" si="2"/>
        <v>184.2</v>
      </c>
      <c r="U11" s="21">
        <f t="shared" si="3"/>
        <v>10800.2</v>
      </c>
    </row>
    <row r="12">
      <c r="A12" s="1"/>
      <c r="B12" s="14" t="s">
        <v>9</v>
      </c>
      <c r="C12" s="15" t="s">
        <v>4</v>
      </c>
      <c r="D12" s="11">
        <v>1380.0</v>
      </c>
      <c r="E12" s="12">
        <v>1285.0</v>
      </c>
      <c r="F12" s="12">
        <v>1323.0</v>
      </c>
      <c r="G12" s="12">
        <v>1398.0</v>
      </c>
      <c r="H12" s="12">
        <v>1377.0</v>
      </c>
      <c r="I12" s="12">
        <v>18970.0</v>
      </c>
      <c r="J12" s="12">
        <v>16771.0</v>
      </c>
      <c r="K12" s="12">
        <v>15902.0</v>
      </c>
      <c r="L12" s="12">
        <v>17128.0</v>
      </c>
      <c r="M12" s="12">
        <v>15663.0</v>
      </c>
      <c r="N12" s="12">
        <v>911732.0</v>
      </c>
      <c r="O12" s="12">
        <v>1488318.0</v>
      </c>
      <c r="P12" s="12">
        <v>1430038.0</v>
      </c>
      <c r="Q12" s="12">
        <v>1134782.0</v>
      </c>
      <c r="R12" s="13">
        <v>1025337.0</v>
      </c>
      <c r="S12" s="19">
        <f t="shared" si="1"/>
        <v>1352.6</v>
      </c>
      <c r="T12" s="20">
        <f t="shared" si="2"/>
        <v>16886.8</v>
      </c>
      <c r="U12" s="21">
        <f t="shared" si="3"/>
        <v>1198041.4</v>
      </c>
    </row>
    <row r="13">
      <c r="A13" s="1"/>
      <c r="B13" s="22"/>
      <c r="C13" s="15" t="s">
        <v>5</v>
      </c>
      <c r="D13" s="23">
        <v>17.0</v>
      </c>
      <c r="E13" s="24">
        <v>17.0</v>
      </c>
      <c r="F13" s="24">
        <v>17.0</v>
      </c>
      <c r="G13" s="24">
        <v>18.0</v>
      </c>
      <c r="H13" s="24">
        <v>17.0</v>
      </c>
      <c r="I13" s="24">
        <v>239.0</v>
      </c>
      <c r="J13" s="24">
        <v>243.0</v>
      </c>
      <c r="K13" s="24">
        <v>244.0</v>
      </c>
      <c r="L13" s="24">
        <v>493.0</v>
      </c>
      <c r="M13" s="24">
        <v>200.0</v>
      </c>
      <c r="N13" s="24">
        <v>12979.0</v>
      </c>
      <c r="O13" s="24">
        <v>13602.0</v>
      </c>
      <c r="P13" s="24">
        <v>12302.0</v>
      </c>
      <c r="Q13" s="24">
        <v>10314.0</v>
      </c>
      <c r="R13" s="25">
        <v>10138.0</v>
      </c>
      <c r="S13" s="26">
        <f t="shared" si="1"/>
        <v>17.2</v>
      </c>
      <c r="T13" s="27">
        <f t="shared" si="2"/>
        <v>283.8</v>
      </c>
      <c r="U13" s="28">
        <f t="shared" si="3"/>
        <v>11867</v>
      </c>
    </row>
    <row r="20">
      <c r="K20" s="29"/>
    </row>
    <row r="22">
      <c r="K22" s="29"/>
    </row>
    <row r="24">
      <c r="K24" s="29"/>
    </row>
    <row r="26">
      <c r="K26" s="29"/>
    </row>
  </sheetData>
  <mergeCells count="14">
    <mergeCell ref="B8:B9"/>
    <mergeCell ref="B10:B11"/>
    <mergeCell ref="B12:B13"/>
    <mergeCell ref="K20:K21"/>
    <mergeCell ref="K22:K23"/>
    <mergeCell ref="K24:K25"/>
    <mergeCell ref="K26:K27"/>
    <mergeCell ref="S4:U4"/>
    <mergeCell ref="D5:H5"/>
    <mergeCell ref="I5:M5"/>
    <mergeCell ref="N5:R5"/>
    <mergeCell ref="A6:A7"/>
    <mergeCell ref="B6:B7"/>
    <mergeCell ref="A8:A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4" max="15" width="6.38"/>
  </cols>
  <sheetData>
    <row r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>
      <c r="A2" s="30"/>
      <c r="B2" s="31"/>
      <c r="C2" s="31"/>
      <c r="D2" s="32" t="s">
        <v>10</v>
      </c>
      <c r="E2" s="3"/>
      <c r="F2" s="3"/>
      <c r="G2" s="3"/>
      <c r="H2" s="3"/>
      <c r="I2" s="4"/>
      <c r="J2" s="32" t="s">
        <v>11</v>
      </c>
      <c r="K2" s="3"/>
      <c r="L2" s="3"/>
      <c r="M2" s="3"/>
      <c r="N2" s="3"/>
      <c r="O2" s="4"/>
      <c r="P2" s="32" t="s">
        <v>0</v>
      </c>
      <c r="Q2" s="3"/>
      <c r="R2" s="3"/>
      <c r="S2" s="4"/>
      <c r="T2" s="30"/>
      <c r="U2" s="30"/>
      <c r="V2" s="30"/>
      <c r="W2" s="30"/>
      <c r="X2" s="30"/>
      <c r="Y2" s="30"/>
      <c r="Z2" s="30"/>
      <c r="AA2" s="30"/>
      <c r="AB2" s="30"/>
    </row>
    <row r="3">
      <c r="A3" s="33" t="s">
        <v>1</v>
      </c>
      <c r="B3" s="34"/>
      <c r="C3" s="35"/>
      <c r="D3" s="36">
        <v>100000.0</v>
      </c>
      <c r="E3" s="37"/>
      <c r="F3" s="38"/>
      <c r="G3" s="39">
        <v>1000000.0</v>
      </c>
      <c r="H3" s="37"/>
      <c r="I3" s="40"/>
      <c r="J3" s="36">
        <v>100000.0</v>
      </c>
      <c r="K3" s="37"/>
      <c r="L3" s="38"/>
      <c r="M3" s="39">
        <v>1000000.0</v>
      </c>
      <c r="N3" s="37"/>
      <c r="O3" s="40"/>
      <c r="P3" s="41">
        <v>100000.0</v>
      </c>
      <c r="Q3" s="42">
        <v>1000000.0</v>
      </c>
      <c r="R3" s="42">
        <v>100000.0</v>
      </c>
      <c r="S3" s="43">
        <v>1000000.0</v>
      </c>
      <c r="T3" s="30"/>
      <c r="U3" s="30"/>
      <c r="V3" s="30"/>
      <c r="W3" s="30"/>
      <c r="X3" s="30"/>
      <c r="Y3" s="30"/>
      <c r="Z3" s="30"/>
      <c r="AA3" s="30"/>
      <c r="AB3" s="30"/>
    </row>
    <row r="4">
      <c r="A4" s="33" t="s">
        <v>12</v>
      </c>
      <c r="B4" s="44" t="s">
        <v>3</v>
      </c>
      <c r="C4" s="39" t="s">
        <v>4</v>
      </c>
      <c r="D4" s="41">
        <v>469.0</v>
      </c>
      <c r="E4" s="42">
        <v>466.0</v>
      </c>
      <c r="F4" s="42">
        <v>498.0</v>
      </c>
      <c r="G4" s="42">
        <v>1090.0</v>
      </c>
      <c r="H4" s="42">
        <v>1091.0</v>
      </c>
      <c r="I4" s="43">
        <v>1113.0</v>
      </c>
      <c r="J4" s="41">
        <v>211.0</v>
      </c>
      <c r="K4" s="42">
        <v>217.0</v>
      </c>
      <c r="L4" s="42">
        <v>224.0</v>
      </c>
      <c r="M4" s="42">
        <v>459.0</v>
      </c>
      <c r="N4" s="42">
        <v>430.0</v>
      </c>
      <c r="O4" s="43">
        <v>439.0</v>
      </c>
      <c r="P4" s="45">
        <f t="shared" ref="P4:P11" si="1">AVERAGE(D4:F4)</f>
        <v>477.6666667</v>
      </c>
      <c r="Q4" s="46">
        <f t="shared" ref="Q4:Q11" si="2">AVERAGE(G4:I4)</f>
        <v>1098</v>
      </c>
      <c r="R4" s="46">
        <f t="shared" ref="R4:R11" si="3">AVERAGE(J4:L4)</f>
        <v>217.3333333</v>
      </c>
      <c r="S4" s="47">
        <f t="shared" ref="S4:S11" si="4">AVERAGE(M4:O4)</f>
        <v>442.6666667</v>
      </c>
      <c r="T4" s="30"/>
      <c r="U4" s="30"/>
      <c r="V4" s="30"/>
      <c r="W4" s="30"/>
      <c r="X4" s="30"/>
      <c r="Y4" s="30"/>
      <c r="Z4" s="30"/>
      <c r="AA4" s="30"/>
      <c r="AB4" s="30"/>
    </row>
    <row r="5">
      <c r="B5" s="22"/>
      <c r="C5" s="39" t="s">
        <v>5</v>
      </c>
      <c r="D5" s="41">
        <v>310.0</v>
      </c>
      <c r="E5" s="42">
        <v>327.0</v>
      </c>
      <c r="F5" s="42">
        <v>307.0</v>
      </c>
      <c r="G5" s="42">
        <v>739.0</v>
      </c>
      <c r="H5" s="42">
        <v>704.0</v>
      </c>
      <c r="I5" s="43">
        <v>702.0</v>
      </c>
      <c r="J5" s="41">
        <v>77.0</v>
      </c>
      <c r="K5" s="42">
        <v>77.0</v>
      </c>
      <c r="L5" s="42">
        <v>79.0</v>
      </c>
      <c r="M5" s="42">
        <v>139.0</v>
      </c>
      <c r="N5" s="42">
        <v>142.0</v>
      </c>
      <c r="O5" s="43">
        <v>143.0</v>
      </c>
      <c r="P5" s="45">
        <f t="shared" si="1"/>
        <v>314.6666667</v>
      </c>
      <c r="Q5" s="46">
        <f t="shared" si="2"/>
        <v>715</v>
      </c>
      <c r="R5" s="46">
        <f t="shared" si="3"/>
        <v>77.66666667</v>
      </c>
      <c r="S5" s="47">
        <f t="shared" si="4"/>
        <v>141.3333333</v>
      </c>
      <c r="T5" s="30"/>
      <c r="U5" s="30"/>
      <c r="V5" s="30"/>
      <c r="W5" s="30"/>
      <c r="X5" s="30"/>
      <c r="Y5" s="30"/>
      <c r="Z5" s="30"/>
      <c r="AA5" s="30"/>
      <c r="AB5" s="30"/>
    </row>
    <row r="6">
      <c r="A6" s="33" t="s">
        <v>13</v>
      </c>
      <c r="B6" s="44" t="s">
        <v>7</v>
      </c>
      <c r="C6" s="39" t="s">
        <v>4</v>
      </c>
      <c r="D6" s="41">
        <v>2652.0</v>
      </c>
      <c r="E6" s="42">
        <v>2527.0</v>
      </c>
      <c r="F6" s="42">
        <v>2606.0</v>
      </c>
      <c r="G6" s="42">
        <v>5668.0</v>
      </c>
      <c r="H6" s="42">
        <v>5837.0</v>
      </c>
      <c r="I6" s="43">
        <v>5435.0</v>
      </c>
      <c r="J6" s="41">
        <v>1183.0</v>
      </c>
      <c r="K6" s="42">
        <v>1183.0</v>
      </c>
      <c r="L6" s="42">
        <v>1170.0</v>
      </c>
      <c r="M6" s="42">
        <v>2660.0</v>
      </c>
      <c r="N6" s="42">
        <v>2640.0</v>
      </c>
      <c r="O6" s="43">
        <v>2516.0</v>
      </c>
      <c r="P6" s="45">
        <f t="shared" si="1"/>
        <v>2595</v>
      </c>
      <c r="Q6" s="46">
        <f t="shared" si="2"/>
        <v>5646.666667</v>
      </c>
      <c r="R6" s="46">
        <f t="shared" si="3"/>
        <v>1178.666667</v>
      </c>
      <c r="S6" s="47">
        <f t="shared" si="4"/>
        <v>2605.333333</v>
      </c>
      <c r="T6" s="30"/>
      <c r="U6" s="30"/>
      <c r="V6" s="30"/>
      <c r="W6" s="30"/>
      <c r="X6" s="30"/>
      <c r="Y6" s="30"/>
      <c r="Z6" s="30"/>
      <c r="AA6" s="30"/>
      <c r="AB6" s="30"/>
    </row>
    <row r="7">
      <c r="B7" s="22"/>
      <c r="C7" s="39" t="s">
        <v>5</v>
      </c>
      <c r="D7" s="41">
        <v>1682.0</v>
      </c>
      <c r="E7" s="42">
        <v>1406.0</v>
      </c>
      <c r="F7" s="42">
        <v>1522.0</v>
      </c>
      <c r="G7" s="42">
        <v>3379.0</v>
      </c>
      <c r="H7" s="42">
        <v>3231.0</v>
      </c>
      <c r="I7" s="43">
        <v>2906.0</v>
      </c>
      <c r="J7" s="41">
        <v>653.0</v>
      </c>
      <c r="K7" s="42">
        <v>666.0</v>
      </c>
      <c r="L7" s="42">
        <v>644.0</v>
      </c>
      <c r="M7" s="42">
        <v>1518.0</v>
      </c>
      <c r="N7" s="42">
        <v>1505.0</v>
      </c>
      <c r="O7" s="43">
        <v>1530.0</v>
      </c>
      <c r="P7" s="45">
        <f t="shared" si="1"/>
        <v>1536.666667</v>
      </c>
      <c r="Q7" s="46">
        <f t="shared" si="2"/>
        <v>3172</v>
      </c>
      <c r="R7" s="46">
        <f t="shared" si="3"/>
        <v>654.3333333</v>
      </c>
      <c r="S7" s="47">
        <f t="shared" si="4"/>
        <v>1517.666667</v>
      </c>
      <c r="T7" s="30"/>
      <c r="U7" s="30"/>
      <c r="V7" s="30"/>
      <c r="W7" s="30"/>
      <c r="X7" s="30"/>
      <c r="Y7" s="30"/>
      <c r="Z7" s="30"/>
      <c r="AA7" s="30"/>
      <c r="AB7" s="30"/>
    </row>
    <row r="8">
      <c r="A8" s="33" t="s">
        <v>14</v>
      </c>
      <c r="B8" s="48" t="s">
        <v>15</v>
      </c>
      <c r="C8" s="39" t="s">
        <v>4</v>
      </c>
      <c r="D8" s="41">
        <v>3647.0</v>
      </c>
      <c r="E8" s="42">
        <v>3779.0</v>
      </c>
      <c r="F8" s="42">
        <v>3910.0</v>
      </c>
      <c r="G8" s="42">
        <v>8055.0</v>
      </c>
      <c r="H8" s="42">
        <v>7851.0</v>
      </c>
      <c r="I8" s="43">
        <v>6983.0</v>
      </c>
      <c r="J8" s="41">
        <v>1885.0</v>
      </c>
      <c r="K8" s="42">
        <v>1861.0</v>
      </c>
      <c r="L8" s="42">
        <v>1951.0</v>
      </c>
      <c r="M8" s="42">
        <v>5243.0</v>
      </c>
      <c r="N8" s="42">
        <v>4994.0</v>
      </c>
      <c r="O8" s="43">
        <v>5048.0</v>
      </c>
      <c r="P8" s="45">
        <f t="shared" si="1"/>
        <v>3778.666667</v>
      </c>
      <c r="Q8" s="46">
        <f t="shared" si="2"/>
        <v>7629.666667</v>
      </c>
      <c r="R8" s="46">
        <f t="shared" si="3"/>
        <v>1899</v>
      </c>
      <c r="S8" s="47">
        <f t="shared" si="4"/>
        <v>5095</v>
      </c>
      <c r="T8" s="30"/>
      <c r="U8" s="30"/>
      <c r="V8" s="30"/>
      <c r="W8" s="30"/>
      <c r="X8" s="30"/>
      <c r="Y8" s="30"/>
      <c r="Z8" s="30"/>
      <c r="AA8" s="30"/>
      <c r="AB8" s="30"/>
    </row>
    <row r="9">
      <c r="B9" s="22"/>
      <c r="C9" s="39" t="s">
        <v>5</v>
      </c>
      <c r="D9" s="41">
        <v>2437.0</v>
      </c>
      <c r="E9" s="42">
        <v>2542.0</v>
      </c>
      <c r="F9" s="42">
        <v>2554.0</v>
      </c>
      <c r="G9" s="42">
        <v>5083.0</v>
      </c>
      <c r="H9" s="42">
        <v>5088.0</v>
      </c>
      <c r="I9" s="43">
        <v>4569.0</v>
      </c>
      <c r="J9" s="41">
        <v>872.0</v>
      </c>
      <c r="K9" s="42">
        <v>917.0</v>
      </c>
      <c r="L9" s="42">
        <v>888.0</v>
      </c>
      <c r="M9" s="42">
        <v>2809.0</v>
      </c>
      <c r="N9" s="42">
        <v>2941.0</v>
      </c>
      <c r="O9" s="43">
        <v>2553.0</v>
      </c>
      <c r="P9" s="45">
        <f t="shared" si="1"/>
        <v>2511</v>
      </c>
      <c r="Q9" s="46">
        <f t="shared" si="2"/>
        <v>4913.333333</v>
      </c>
      <c r="R9" s="46">
        <f t="shared" si="3"/>
        <v>892.3333333</v>
      </c>
      <c r="S9" s="47">
        <f t="shared" si="4"/>
        <v>2767.666667</v>
      </c>
      <c r="T9" s="30"/>
      <c r="U9" s="30"/>
      <c r="V9" s="30"/>
      <c r="W9" s="30"/>
      <c r="X9" s="30"/>
      <c r="Y9" s="30"/>
      <c r="Z9" s="30"/>
      <c r="AA9" s="30"/>
      <c r="AB9" s="30"/>
    </row>
    <row r="10">
      <c r="A10" s="33" t="s">
        <v>16</v>
      </c>
      <c r="B10" s="48" t="s">
        <v>17</v>
      </c>
      <c r="C10" s="39" t="s">
        <v>4</v>
      </c>
      <c r="D10" s="41">
        <v>2818.0</v>
      </c>
      <c r="E10" s="42">
        <v>2736.0</v>
      </c>
      <c r="F10" s="42">
        <v>2725.0</v>
      </c>
      <c r="G10" s="42">
        <v>5743.0</v>
      </c>
      <c r="H10" s="42">
        <v>6028.0</v>
      </c>
      <c r="I10" s="43">
        <v>5873.0</v>
      </c>
      <c r="J10" s="41">
        <v>2062.0</v>
      </c>
      <c r="K10" s="42">
        <v>1876.0</v>
      </c>
      <c r="L10" s="42">
        <v>1824.0</v>
      </c>
      <c r="M10" s="42">
        <v>4050.0</v>
      </c>
      <c r="N10" s="42">
        <v>4068.0</v>
      </c>
      <c r="O10" s="43">
        <v>4136.0</v>
      </c>
      <c r="P10" s="45">
        <f t="shared" si="1"/>
        <v>2759.666667</v>
      </c>
      <c r="Q10" s="46">
        <f t="shared" si="2"/>
        <v>5881.333333</v>
      </c>
      <c r="R10" s="46">
        <f t="shared" si="3"/>
        <v>1920.666667</v>
      </c>
      <c r="S10" s="47">
        <f t="shared" si="4"/>
        <v>4084.666667</v>
      </c>
      <c r="T10" s="30"/>
      <c r="U10" s="30"/>
      <c r="V10" s="30"/>
      <c r="W10" s="30"/>
      <c r="X10" s="30"/>
      <c r="Y10" s="30"/>
      <c r="Z10" s="30"/>
      <c r="AA10" s="30"/>
      <c r="AB10" s="30"/>
    </row>
    <row r="11">
      <c r="B11" s="22"/>
      <c r="C11" s="39" t="s">
        <v>5</v>
      </c>
      <c r="D11" s="49">
        <v>2066.0</v>
      </c>
      <c r="E11" s="50">
        <v>2037.0</v>
      </c>
      <c r="F11" s="50">
        <v>2007.0</v>
      </c>
      <c r="G11" s="50">
        <v>4688.0</v>
      </c>
      <c r="H11" s="50">
        <v>4300.0</v>
      </c>
      <c r="I11" s="51">
        <v>4330.0</v>
      </c>
      <c r="J11" s="49">
        <v>915.0</v>
      </c>
      <c r="K11" s="50">
        <v>852.0</v>
      </c>
      <c r="L11" s="50">
        <v>985.0</v>
      </c>
      <c r="M11" s="50">
        <v>2260.0</v>
      </c>
      <c r="N11" s="50">
        <v>2100.0</v>
      </c>
      <c r="O11" s="51">
        <v>2204.0</v>
      </c>
      <c r="P11" s="52">
        <f t="shared" si="1"/>
        <v>2036.666667</v>
      </c>
      <c r="Q11" s="53">
        <f t="shared" si="2"/>
        <v>4439.333333</v>
      </c>
      <c r="R11" s="53">
        <f t="shared" si="3"/>
        <v>917.3333333</v>
      </c>
      <c r="S11" s="54">
        <f t="shared" si="4"/>
        <v>2188</v>
      </c>
      <c r="T11" s="30"/>
      <c r="U11" s="30"/>
      <c r="V11" s="30"/>
      <c r="W11" s="30"/>
      <c r="X11" s="30"/>
      <c r="Y11" s="30"/>
      <c r="Z11" s="30"/>
      <c r="AA11" s="30"/>
      <c r="AB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</sheetData>
  <mergeCells count="15">
    <mergeCell ref="A4:A5"/>
    <mergeCell ref="B4:B5"/>
    <mergeCell ref="A6:A7"/>
    <mergeCell ref="B6:B7"/>
    <mergeCell ref="A8:A9"/>
    <mergeCell ref="B8:B9"/>
    <mergeCell ref="A10:A11"/>
    <mergeCell ref="B10:B11"/>
    <mergeCell ref="D2:I2"/>
    <mergeCell ref="J2:O2"/>
    <mergeCell ref="P2:S2"/>
    <mergeCell ref="D3:F3"/>
    <mergeCell ref="G3:I3"/>
    <mergeCell ref="J3:L3"/>
    <mergeCell ref="M3:O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5.75"/>
    <col customWidth="1" min="4" max="17" width="6.5"/>
    <col customWidth="1" min="18" max="18" width="7.88"/>
    <col customWidth="1" min="19" max="19" width="10.38"/>
    <col customWidth="1" min="20" max="21" width="11.0"/>
    <col customWidth="1" min="22" max="23" width="12.13"/>
    <col customWidth="1" min="24" max="24" width="11.88"/>
  </cols>
  <sheetData>
    <row r="2"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2" t="s">
        <v>0</v>
      </c>
      <c r="T2" s="3"/>
      <c r="U2" s="4"/>
    </row>
    <row r="3">
      <c r="A3" s="55" t="s">
        <v>1</v>
      </c>
      <c r="B3" s="56"/>
      <c r="C3" s="57"/>
      <c r="D3" s="58">
        <v>100000.0</v>
      </c>
      <c r="E3" s="3"/>
      <c r="F3" s="3"/>
      <c r="G3" s="3"/>
      <c r="H3" s="4"/>
      <c r="I3" s="58">
        <v>1000000.0</v>
      </c>
      <c r="J3" s="3"/>
      <c r="K3" s="3"/>
      <c r="L3" s="3"/>
      <c r="M3" s="4"/>
      <c r="N3" s="58">
        <v>5000000.0</v>
      </c>
      <c r="O3" s="3"/>
      <c r="P3" s="3"/>
      <c r="Q3" s="3"/>
      <c r="R3" s="4"/>
      <c r="S3" s="41">
        <v>100000.0</v>
      </c>
      <c r="T3" s="42">
        <v>1000000.0</v>
      </c>
      <c r="U3" s="43">
        <v>5000000.0</v>
      </c>
    </row>
    <row r="4">
      <c r="A4" s="55" t="s">
        <v>18</v>
      </c>
      <c r="B4" s="44" t="s">
        <v>3</v>
      </c>
      <c r="C4" s="39" t="s">
        <v>4</v>
      </c>
      <c r="D4" s="41">
        <v>771.0</v>
      </c>
      <c r="E4" s="42">
        <v>744.0</v>
      </c>
      <c r="F4" s="42">
        <v>729.0</v>
      </c>
      <c r="G4" s="42">
        <v>721.0</v>
      </c>
      <c r="H4" s="43">
        <v>781.0</v>
      </c>
      <c r="I4" s="41">
        <v>7054.0</v>
      </c>
      <c r="J4" s="42">
        <v>6840.0</v>
      </c>
      <c r="K4" s="42">
        <v>6697.0</v>
      </c>
      <c r="L4" s="42">
        <v>6914.0</v>
      </c>
      <c r="M4" s="43">
        <v>6761.0</v>
      </c>
      <c r="N4" s="41">
        <v>97508.0</v>
      </c>
      <c r="O4" s="42">
        <v>89602.0</v>
      </c>
      <c r="P4" s="42">
        <v>100052.0</v>
      </c>
      <c r="Q4" s="42">
        <v>114167.0</v>
      </c>
      <c r="R4" s="43">
        <v>142807.0</v>
      </c>
      <c r="S4" s="59">
        <f t="shared" ref="S4:S9" si="1">AVERAGE(D4:H4)</f>
        <v>749.2</v>
      </c>
      <c r="T4" s="56">
        <f t="shared" ref="T4:T9" si="2">AVERAGE(I4:M4)</f>
        <v>6853.2</v>
      </c>
      <c r="U4" s="60">
        <f t="shared" ref="U4:U9" si="3">AVERAGE(N4:R4)</f>
        <v>108827.2</v>
      </c>
    </row>
    <row r="5">
      <c r="B5" s="22"/>
      <c r="C5" s="39" t="s">
        <v>5</v>
      </c>
      <c r="D5" s="41">
        <v>161.0</v>
      </c>
      <c r="E5" s="42">
        <v>159.0</v>
      </c>
      <c r="F5" s="42">
        <v>161.0</v>
      </c>
      <c r="G5" s="42">
        <v>165.0</v>
      </c>
      <c r="H5" s="43">
        <v>166.0</v>
      </c>
      <c r="I5" s="41">
        <v>1257.0</v>
      </c>
      <c r="J5" s="42">
        <v>1230.0</v>
      </c>
      <c r="K5" s="42">
        <v>1401.0</v>
      </c>
      <c r="L5" s="42">
        <v>1273.0</v>
      </c>
      <c r="M5" s="43">
        <v>1220.0</v>
      </c>
      <c r="N5" s="41">
        <v>12140.0</v>
      </c>
      <c r="O5" s="42">
        <v>10657.0</v>
      </c>
      <c r="P5" s="42">
        <v>11042.0</v>
      </c>
      <c r="Q5" s="42">
        <v>13680.0</v>
      </c>
      <c r="R5" s="43">
        <v>10985.0</v>
      </c>
      <c r="S5" s="59">
        <f t="shared" si="1"/>
        <v>162.4</v>
      </c>
      <c r="T5" s="56">
        <f t="shared" si="2"/>
        <v>1276.2</v>
      </c>
      <c r="U5" s="60">
        <f t="shared" si="3"/>
        <v>11700.8</v>
      </c>
    </row>
    <row r="6">
      <c r="A6" s="55" t="s">
        <v>19</v>
      </c>
      <c r="B6" s="44" t="s">
        <v>7</v>
      </c>
      <c r="C6" s="39" t="s">
        <v>4</v>
      </c>
      <c r="D6" s="61">
        <v>2798.0</v>
      </c>
      <c r="E6" s="62">
        <v>2679.0</v>
      </c>
      <c r="F6" s="62">
        <v>2875.0</v>
      </c>
      <c r="G6" s="62">
        <v>2700.0</v>
      </c>
      <c r="H6" s="63">
        <v>2697.0</v>
      </c>
      <c r="I6" s="41">
        <v>28510.0</v>
      </c>
      <c r="J6" s="42">
        <v>27565.0</v>
      </c>
      <c r="K6" s="42">
        <v>27653.0</v>
      </c>
      <c r="L6" s="42">
        <v>26824.0</v>
      </c>
      <c r="M6" s="43">
        <v>28004.0</v>
      </c>
      <c r="N6" s="41">
        <v>1828621.0</v>
      </c>
      <c r="O6" s="42">
        <v>1308134.0</v>
      </c>
      <c r="P6" s="42">
        <v>1347665.0</v>
      </c>
      <c r="Q6" s="42">
        <v>1707070.0</v>
      </c>
      <c r="R6" s="43">
        <v>1596322.0</v>
      </c>
      <c r="S6" s="59">
        <f t="shared" si="1"/>
        <v>2749.8</v>
      </c>
      <c r="T6" s="56">
        <f t="shared" si="2"/>
        <v>27711.2</v>
      </c>
      <c r="U6" s="60">
        <f t="shared" si="3"/>
        <v>1557562.4</v>
      </c>
    </row>
    <row r="7">
      <c r="B7" s="22"/>
      <c r="C7" s="39" t="s">
        <v>5</v>
      </c>
      <c r="D7" s="41">
        <v>817.0</v>
      </c>
      <c r="E7" s="42">
        <v>822.0</v>
      </c>
      <c r="F7" s="42">
        <v>1092.0</v>
      </c>
      <c r="G7" s="42">
        <v>793.0</v>
      </c>
      <c r="H7" s="43">
        <v>789.0</v>
      </c>
      <c r="I7" s="41">
        <v>7800.0</v>
      </c>
      <c r="J7" s="42">
        <v>7886.0</v>
      </c>
      <c r="K7" s="42">
        <v>7906.0</v>
      </c>
      <c r="L7" s="42">
        <v>7762.0</v>
      </c>
      <c r="M7" s="43">
        <v>7994.0</v>
      </c>
      <c r="N7" s="41">
        <v>58274.0</v>
      </c>
      <c r="O7" s="42">
        <v>57565.0</v>
      </c>
      <c r="P7" s="42">
        <v>56672.0</v>
      </c>
      <c r="Q7" s="42">
        <v>59476.0</v>
      </c>
      <c r="R7" s="43">
        <v>57492.0</v>
      </c>
      <c r="S7" s="59">
        <f t="shared" si="1"/>
        <v>862.6</v>
      </c>
      <c r="T7" s="56">
        <f t="shared" si="2"/>
        <v>7869.6</v>
      </c>
      <c r="U7" s="60">
        <f t="shared" si="3"/>
        <v>57895.8</v>
      </c>
    </row>
    <row r="8">
      <c r="A8" s="55" t="s">
        <v>20</v>
      </c>
      <c r="B8" s="64" t="s">
        <v>8</v>
      </c>
      <c r="C8" s="65" t="s">
        <v>4</v>
      </c>
      <c r="D8" s="41">
        <v>1478.0</v>
      </c>
      <c r="E8" s="42">
        <v>1345.0</v>
      </c>
      <c r="F8" s="42">
        <v>1387.0</v>
      </c>
      <c r="G8" s="42">
        <v>1409.0</v>
      </c>
      <c r="H8" s="43">
        <v>1413.0</v>
      </c>
      <c r="I8" s="41">
        <v>16298.0</v>
      </c>
      <c r="J8" s="42">
        <v>16785.0</v>
      </c>
      <c r="K8" s="42">
        <v>15539.0</v>
      </c>
      <c r="L8" s="42">
        <v>15583.0</v>
      </c>
      <c r="M8" s="43">
        <v>15486.0</v>
      </c>
      <c r="N8" s="41">
        <v>821987.0</v>
      </c>
      <c r="O8" s="42">
        <v>1293219.0</v>
      </c>
      <c r="P8" s="42">
        <v>1186102.0</v>
      </c>
      <c r="Q8" s="42">
        <v>891387.0</v>
      </c>
      <c r="R8" s="43">
        <v>1035099.0</v>
      </c>
      <c r="S8" s="59">
        <f t="shared" si="1"/>
        <v>1406.4</v>
      </c>
      <c r="T8" s="56">
        <f t="shared" si="2"/>
        <v>15938.2</v>
      </c>
      <c r="U8" s="60">
        <f t="shared" si="3"/>
        <v>1045558.8</v>
      </c>
    </row>
    <row r="9">
      <c r="B9" s="22"/>
      <c r="C9" s="65" t="s">
        <v>5</v>
      </c>
      <c r="D9" s="49">
        <v>21.0</v>
      </c>
      <c r="E9" s="50">
        <v>22.0</v>
      </c>
      <c r="F9" s="50">
        <v>17.0</v>
      </c>
      <c r="G9" s="50">
        <v>16.0</v>
      </c>
      <c r="H9" s="51">
        <v>16.0</v>
      </c>
      <c r="I9" s="49">
        <v>227.0</v>
      </c>
      <c r="J9" s="50">
        <v>192.0</v>
      </c>
      <c r="K9" s="50">
        <v>169.0</v>
      </c>
      <c r="L9" s="50">
        <v>167.0</v>
      </c>
      <c r="M9" s="51">
        <v>166.0</v>
      </c>
      <c r="N9" s="49">
        <v>9561.0</v>
      </c>
      <c r="O9" s="50">
        <v>12292.0</v>
      </c>
      <c r="P9" s="50">
        <v>10950.0</v>
      </c>
      <c r="Q9" s="50">
        <v>10244.0</v>
      </c>
      <c r="R9" s="51">
        <v>10954.0</v>
      </c>
      <c r="S9" s="66">
        <f t="shared" si="1"/>
        <v>18.4</v>
      </c>
      <c r="T9" s="67">
        <f t="shared" si="2"/>
        <v>184.2</v>
      </c>
      <c r="U9" s="68">
        <f t="shared" si="3"/>
        <v>10800.2</v>
      </c>
    </row>
  </sheetData>
  <mergeCells count="10">
    <mergeCell ref="A6:A7"/>
    <mergeCell ref="A8:A9"/>
    <mergeCell ref="B8:B9"/>
    <mergeCell ref="S2:U2"/>
    <mergeCell ref="D3:H3"/>
    <mergeCell ref="I3:M3"/>
    <mergeCell ref="N3:R3"/>
    <mergeCell ref="A4:A5"/>
    <mergeCell ref="B4:B5"/>
    <mergeCell ref="B6:B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88"/>
    <col customWidth="1" min="4" max="4" width="8.38"/>
    <col customWidth="1" min="5" max="6" width="4.75"/>
    <col customWidth="1" min="7" max="7" width="7.5"/>
    <col customWidth="1" min="8" max="8" width="4.75"/>
    <col customWidth="1" min="9" max="9" width="6.5"/>
    <col customWidth="1" min="10" max="11" width="4.75"/>
    <col customWidth="1" min="12" max="12" width="7.5"/>
    <col customWidth="1" min="13" max="13" width="4.75"/>
  </cols>
  <sheetData>
    <row r="3">
      <c r="A3" s="55" t="s">
        <v>1</v>
      </c>
      <c r="B3" s="56"/>
      <c r="C3" s="57"/>
      <c r="D3" s="32" t="s">
        <v>10</v>
      </c>
      <c r="E3" s="3"/>
      <c r="F3" s="3"/>
      <c r="G3" s="3"/>
      <c r="H3" s="4"/>
      <c r="I3" s="32" t="s">
        <v>11</v>
      </c>
      <c r="J3" s="3"/>
      <c r="K3" s="3"/>
      <c r="L3" s="3"/>
      <c r="M3" s="4"/>
      <c r="N3" s="32" t="s">
        <v>0</v>
      </c>
      <c r="O3" s="4"/>
    </row>
    <row r="4">
      <c r="A4" s="55" t="s">
        <v>21</v>
      </c>
      <c r="B4" s="44" t="s">
        <v>3</v>
      </c>
      <c r="C4" s="39" t="s">
        <v>4</v>
      </c>
      <c r="D4" s="41">
        <v>855.0</v>
      </c>
      <c r="E4" s="42">
        <v>813.0</v>
      </c>
      <c r="F4" s="42">
        <v>838.0</v>
      </c>
      <c r="G4" s="42">
        <v>758.0</v>
      </c>
      <c r="H4" s="43">
        <v>805.0</v>
      </c>
      <c r="I4" s="41">
        <v>228.0</v>
      </c>
      <c r="J4" s="42">
        <v>220.0</v>
      </c>
      <c r="K4" s="42">
        <v>229.0</v>
      </c>
      <c r="L4" s="42">
        <v>222.0</v>
      </c>
      <c r="M4" s="43">
        <v>233.0</v>
      </c>
      <c r="N4" s="59">
        <f t="shared" ref="N4:N7" si="1">AVERAGE(D4:H4)</f>
        <v>813.8</v>
      </c>
      <c r="O4" s="60">
        <f t="shared" ref="O4:O7" si="2">AVERAGE(I4:M4)</f>
        <v>226.4</v>
      </c>
    </row>
    <row r="5">
      <c r="B5" s="22"/>
      <c r="C5" s="39" t="s">
        <v>5</v>
      </c>
      <c r="D5" s="41">
        <v>771.0</v>
      </c>
      <c r="E5" s="42">
        <v>783.0</v>
      </c>
      <c r="F5" s="42">
        <v>769.0</v>
      </c>
      <c r="G5" s="42">
        <v>801.0</v>
      </c>
      <c r="H5" s="43">
        <v>819.0</v>
      </c>
      <c r="I5" s="41">
        <v>275.0</v>
      </c>
      <c r="J5" s="42">
        <v>297.0</v>
      </c>
      <c r="K5" s="42">
        <v>281.0</v>
      </c>
      <c r="L5" s="42">
        <v>284.0</v>
      </c>
      <c r="M5" s="43">
        <v>281.0</v>
      </c>
      <c r="N5" s="59">
        <f t="shared" si="1"/>
        <v>788.6</v>
      </c>
      <c r="O5" s="60">
        <f t="shared" si="2"/>
        <v>283.6</v>
      </c>
    </row>
    <row r="6">
      <c r="A6" s="55" t="s">
        <v>22</v>
      </c>
      <c r="B6" s="44" t="s">
        <v>7</v>
      </c>
      <c r="C6" s="39" t="s">
        <v>4</v>
      </c>
      <c r="D6" s="41">
        <v>3798.0</v>
      </c>
      <c r="E6" s="42">
        <v>3642.0</v>
      </c>
      <c r="F6" s="42">
        <v>3610.0</v>
      </c>
      <c r="G6" s="42">
        <v>3592.0</v>
      </c>
      <c r="H6" s="43">
        <v>3910.0</v>
      </c>
      <c r="I6" s="41">
        <v>1220.0</v>
      </c>
      <c r="J6" s="42">
        <v>1208.0</v>
      </c>
      <c r="K6" s="42">
        <v>1413.0</v>
      </c>
      <c r="L6" s="42">
        <v>1201.0</v>
      </c>
      <c r="M6" s="43">
        <v>1205.0</v>
      </c>
      <c r="N6" s="59">
        <f t="shared" si="1"/>
        <v>3710.4</v>
      </c>
      <c r="O6" s="60">
        <f t="shared" si="2"/>
        <v>1249.4</v>
      </c>
    </row>
    <row r="7">
      <c r="B7" s="22"/>
      <c r="C7" s="39" t="s">
        <v>5</v>
      </c>
      <c r="D7" s="49">
        <v>3313.0</v>
      </c>
      <c r="E7" s="50">
        <v>3380.0</v>
      </c>
      <c r="F7" s="50">
        <v>3658.0</v>
      </c>
      <c r="G7" s="50">
        <v>3864.0</v>
      </c>
      <c r="H7" s="51">
        <v>3463.0</v>
      </c>
      <c r="I7" s="49">
        <v>1093.0</v>
      </c>
      <c r="J7" s="50">
        <v>1128.0</v>
      </c>
      <c r="K7" s="50">
        <v>1109.0</v>
      </c>
      <c r="L7" s="50">
        <v>1133.0</v>
      </c>
      <c r="M7" s="51">
        <v>1105.0</v>
      </c>
      <c r="N7" s="66">
        <f t="shared" si="1"/>
        <v>3535.6</v>
      </c>
      <c r="O7" s="68">
        <f t="shared" si="2"/>
        <v>1113.6</v>
      </c>
    </row>
  </sheetData>
  <mergeCells count="7">
    <mergeCell ref="D3:H3"/>
    <mergeCell ref="I3:M3"/>
    <mergeCell ref="N3:O3"/>
    <mergeCell ref="A4:A5"/>
    <mergeCell ref="B4:B5"/>
    <mergeCell ref="A6:A7"/>
    <mergeCell ref="B6:B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22.38"/>
    <col customWidth="1" min="3" max="3" width="6.38"/>
    <col customWidth="1" min="4" max="4" width="7.25"/>
    <col customWidth="1" min="5" max="8" width="6.13"/>
    <col customWidth="1" min="9" max="9" width="6.38"/>
    <col customWidth="1" min="10" max="13" width="6.13"/>
    <col customWidth="1" min="16" max="16" width="17.38"/>
  </cols>
  <sheetData>
    <row r="3">
      <c r="A3" s="33" t="s">
        <v>1</v>
      </c>
      <c r="B3" s="56"/>
      <c r="C3" s="57"/>
      <c r="D3" s="69" t="s">
        <v>10</v>
      </c>
      <c r="E3" s="70"/>
      <c r="F3" s="70"/>
      <c r="G3" s="70"/>
      <c r="H3" s="71"/>
      <c r="I3" s="69" t="s">
        <v>11</v>
      </c>
      <c r="J3" s="70"/>
      <c r="K3" s="70"/>
      <c r="L3" s="70"/>
      <c r="M3" s="71"/>
      <c r="N3" s="69" t="s">
        <v>0</v>
      </c>
      <c r="O3" s="71"/>
    </row>
    <row r="4">
      <c r="A4" s="33" t="s">
        <v>23</v>
      </c>
      <c r="B4" s="44" t="s">
        <v>3</v>
      </c>
      <c r="C4" s="39" t="s">
        <v>4</v>
      </c>
      <c r="D4" s="72">
        <v>972.0</v>
      </c>
      <c r="E4" s="73">
        <v>963.0</v>
      </c>
      <c r="F4" s="73">
        <v>941.0</v>
      </c>
      <c r="G4" s="73">
        <v>956.0</v>
      </c>
      <c r="H4" s="74">
        <v>1059.0</v>
      </c>
      <c r="I4" s="72">
        <v>435.0</v>
      </c>
      <c r="J4" s="73">
        <v>420.0</v>
      </c>
      <c r="K4" s="73">
        <v>494.0</v>
      </c>
      <c r="L4" s="73">
        <v>420.0</v>
      </c>
      <c r="M4" s="75">
        <v>420.0</v>
      </c>
      <c r="N4" s="76">
        <f t="shared" ref="N4:N13" si="1">AVERAGE(D4:H4)</f>
        <v>978.2</v>
      </c>
      <c r="O4" s="77">
        <f t="shared" ref="O4:O13" si="2">AVERAGE(I4:M4)</f>
        <v>437.8</v>
      </c>
    </row>
    <row r="5">
      <c r="B5" s="22"/>
      <c r="C5" s="39" t="s">
        <v>5</v>
      </c>
      <c r="D5" s="41">
        <v>1000.0</v>
      </c>
      <c r="E5" s="42">
        <v>993.0</v>
      </c>
      <c r="F5" s="42">
        <v>991.0</v>
      </c>
      <c r="G5" s="42">
        <v>1062.0</v>
      </c>
      <c r="H5" s="43">
        <v>1005.0</v>
      </c>
      <c r="I5" s="41">
        <v>539.0</v>
      </c>
      <c r="J5" s="42">
        <v>530.0</v>
      </c>
      <c r="K5" s="42">
        <v>538.0</v>
      </c>
      <c r="L5" s="42">
        <v>530.0</v>
      </c>
      <c r="M5" s="39">
        <v>602.0</v>
      </c>
      <c r="N5" s="59">
        <f t="shared" si="1"/>
        <v>1010.2</v>
      </c>
      <c r="O5" s="60">
        <f t="shared" si="2"/>
        <v>547.8</v>
      </c>
    </row>
    <row r="6">
      <c r="A6" s="55" t="s">
        <v>24</v>
      </c>
      <c r="B6" s="44" t="s">
        <v>7</v>
      </c>
      <c r="C6" s="39" t="s">
        <v>4</v>
      </c>
      <c r="D6" s="41">
        <v>72202.0</v>
      </c>
      <c r="E6" s="42">
        <v>70280.0</v>
      </c>
      <c r="F6" s="42">
        <v>69388.0</v>
      </c>
      <c r="G6" s="42">
        <v>70749.0</v>
      </c>
      <c r="H6" s="43">
        <v>69604.0</v>
      </c>
      <c r="I6" s="41">
        <v>36673.0</v>
      </c>
      <c r="J6" s="42">
        <v>36825.0</v>
      </c>
      <c r="K6" s="42">
        <v>36678.0</v>
      </c>
      <c r="L6" s="42">
        <v>37057.0</v>
      </c>
      <c r="M6" s="39">
        <v>36572.0</v>
      </c>
      <c r="N6" s="59">
        <f t="shared" si="1"/>
        <v>70444.6</v>
      </c>
      <c r="O6" s="60">
        <f t="shared" si="2"/>
        <v>36761</v>
      </c>
      <c r="P6" s="55" t="s">
        <v>25</v>
      </c>
    </row>
    <row r="7">
      <c r="B7" s="22"/>
      <c r="C7" s="39" t="s">
        <v>5</v>
      </c>
      <c r="D7" s="41">
        <v>71081.0</v>
      </c>
      <c r="E7" s="42">
        <v>72468.0</v>
      </c>
      <c r="F7" s="42">
        <v>72052.0</v>
      </c>
      <c r="G7" s="42">
        <v>72385.0</v>
      </c>
      <c r="H7" s="43">
        <v>71668.0</v>
      </c>
      <c r="I7" s="78">
        <v>35170.0</v>
      </c>
      <c r="J7" s="44">
        <v>34959.0</v>
      </c>
      <c r="K7" s="44">
        <v>35164.0</v>
      </c>
      <c r="L7" s="44">
        <v>35062.0</v>
      </c>
      <c r="M7" s="79">
        <v>35165.0</v>
      </c>
      <c r="N7" s="59">
        <f t="shared" si="1"/>
        <v>71930.8</v>
      </c>
      <c r="O7" s="60">
        <f t="shared" si="2"/>
        <v>35104</v>
      </c>
    </row>
    <row r="8">
      <c r="A8" s="33" t="s">
        <v>26</v>
      </c>
      <c r="B8" s="48" t="s">
        <v>15</v>
      </c>
      <c r="C8" s="39" t="s">
        <v>4</v>
      </c>
      <c r="D8" s="41">
        <v>5670.0</v>
      </c>
      <c r="E8" s="42">
        <v>5462.0</v>
      </c>
      <c r="F8" s="42">
        <v>5661.0</v>
      </c>
      <c r="G8" s="42">
        <v>5265.0</v>
      </c>
      <c r="H8" s="42">
        <v>5076.0</v>
      </c>
      <c r="I8" s="41">
        <v>3422.0</v>
      </c>
      <c r="J8" s="42">
        <v>3224.0</v>
      </c>
      <c r="K8" s="42">
        <v>3328.0</v>
      </c>
      <c r="L8" s="42">
        <v>3170.0</v>
      </c>
      <c r="M8" s="39">
        <v>3140.0</v>
      </c>
      <c r="N8" s="59">
        <f t="shared" si="1"/>
        <v>5426.8</v>
      </c>
      <c r="O8" s="60">
        <f t="shared" si="2"/>
        <v>3256.8</v>
      </c>
      <c r="P8" s="55" t="s">
        <v>27</v>
      </c>
    </row>
    <row r="9">
      <c r="B9" s="22"/>
      <c r="C9" s="39" t="s">
        <v>5</v>
      </c>
      <c r="D9" s="41">
        <v>5426.0</v>
      </c>
      <c r="E9" s="42">
        <v>5605.0</v>
      </c>
      <c r="F9" s="42">
        <v>4870.0</v>
      </c>
      <c r="G9" s="42">
        <v>5220.0</v>
      </c>
      <c r="H9" s="42">
        <v>5092.0</v>
      </c>
      <c r="I9" s="41">
        <v>3371.0</v>
      </c>
      <c r="J9" s="42">
        <v>3340.0</v>
      </c>
      <c r="K9" s="42">
        <v>3342.0</v>
      </c>
      <c r="L9" s="42">
        <v>3282.0</v>
      </c>
      <c r="M9" s="39">
        <v>3552.0</v>
      </c>
      <c r="N9" s="59">
        <f t="shared" si="1"/>
        <v>5242.6</v>
      </c>
      <c r="O9" s="60">
        <f t="shared" si="2"/>
        <v>3377.4</v>
      </c>
    </row>
    <row r="10">
      <c r="A10" s="55" t="s">
        <v>26</v>
      </c>
      <c r="B10" s="48" t="s">
        <v>17</v>
      </c>
      <c r="C10" s="39" t="s">
        <v>4</v>
      </c>
      <c r="D10" s="41">
        <v>4425.0</v>
      </c>
      <c r="E10" s="42">
        <v>5018.0</v>
      </c>
      <c r="F10" s="42">
        <v>4644.0</v>
      </c>
      <c r="G10" s="42">
        <v>4430.0</v>
      </c>
      <c r="H10" s="42">
        <v>4392.0</v>
      </c>
      <c r="I10" s="72">
        <v>2840.0</v>
      </c>
      <c r="J10" s="73">
        <v>2619.0</v>
      </c>
      <c r="K10" s="73">
        <v>2589.0</v>
      </c>
      <c r="L10" s="73">
        <v>2699.0</v>
      </c>
      <c r="M10" s="75">
        <v>2587.0</v>
      </c>
      <c r="N10" s="59">
        <f t="shared" si="1"/>
        <v>4581.8</v>
      </c>
      <c r="O10" s="60">
        <f t="shared" si="2"/>
        <v>2666.8</v>
      </c>
      <c r="P10" s="55" t="s">
        <v>28</v>
      </c>
    </row>
    <row r="11">
      <c r="B11" s="22"/>
      <c r="C11" s="39" t="s">
        <v>5</v>
      </c>
      <c r="D11" s="41">
        <v>4694.0</v>
      </c>
      <c r="E11" s="42">
        <v>4700.0</v>
      </c>
      <c r="F11" s="42">
        <v>4972.0</v>
      </c>
      <c r="G11" s="42">
        <v>4418.0</v>
      </c>
      <c r="H11" s="42">
        <v>4504.0</v>
      </c>
      <c r="I11" s="41">
        <v>2386.0</v>
      </c>
      <c r="J11" s="42">
        <v>2455.0</v>
      </c>
      <c r="K11" s="42">
        <v>2762.0</v>
      </c>
      <c r="L11" s="42">
        <v>2460.0</v>
      </c>
      <c r="M11" s="39">
        <v>2459.0</v>
      </c>
      <c r="N11" s="59">
        <f t="shared" si="1"/>
        <v>4657.6</v>
      </c>
      <c r="O11" s="60">
        <f t="shared" si="2"/>
        <v>2504.4</v>
      </c>
    </row>
    <row r="12">
      <c r="A12" s="55" t="s">
        <v>29</v>
      </c>
      <c r="B12" s="48" t="s">
        <v>30</v>
      </c>
      <c r="C12" s="39" t="s">
        <v>4</v>
      </c>
      <c r="D12" s="41">
        <v>3357.0</v>
      </c>
      <c r="E12" s="42">
        <v>3130.0</v>
      </c>
      <c r="F12" s="42">
        <v>3110.0</v>
      </c>
      <c r="G12" s="42">
        <v>3766.0</v>
      </c>
      <c r="H12" s="42">
        <v>3519.0</v>
      </c>
      <c r="I12" s="72">
        <v>1667.0</v>
      </c>
      <c r="J12" s="73">
        <v>1530.0</v>
      </c>
      <c r="K12" s="73">
        <v>1408.0</v>
      </c>
      <c r="L12" s="73">
        <v>1231.0</v>
      </c>
      <c r="M12" s="75">
        <v>1487.0</v>
      </c>
      <c r="N12" s="59">
        <f t="shared" si="1"/>
        <v>3376.4</v>
      </c>
      <c r="O12" s="60">
        <f t="shared" si="2"/>
        <v>1464.6</v>
      </c>
    </row>
    <row r="13">
      <c r="B13" s="22"/>
      <c r="C13" s="39" t="s">
        <v>5</v>
      </c>
      <c r="D13" s="49">
        <v>4226.0</v>
      </c>
      <c r="E13" s="50">
        <v>3622.0</v>
      </c>
      <c r="F13" s="50">
        <v>3289.0</v>
      </c>
      <c r="G13" s="50">
        <v>3628.0</v>
      </c>
      <c r="H13" s="50">
        <v>3385.0</v>
      </c>
      <c r="I13" s="49">
        <v>1432.0</v>
      </c>
      <c r="J13" s="50">
        <v>1286.0</v>
      </c>
      <c r="K13" s="50">
        <v>1174.0</v>
      </c>
      <c r="L13" s="50">
        <v>1274.0</v>
      </c>
      <c r="M13" s="80">
        <v>1734.0</v>
      </c>
      <c r="N13" s="66">
        <f t="shared" si="1"/>
        <v>3630</v>
      </c>
      <c r="O13" s="68">
        <f t="shared" si="2"/>
        <v>1380</v>
      </c>
    </row>
  </sheetData>
  <mergeCells count="16">
    <mergeCell ref="A6:A7"/>
    <mergeCell ref="A8:A9"/>
    <mergeCell ref="B8:B9"/>
    <mergeCell ref="A10:A11"/>
    <mergeCell ref="B10:B11"/>
    <mergeCell ref="A12:A13"/>
    <mergeCell ref="B12:B13"/>
    <mergeCell ref="P8:P9"/>
    <mergeCell ref="P10:P11"/>
    <mergeCell ref="D3:H3"/>
    <mergeCell ref="I3:M3"/>
    <mergeCell ref="N3:O3"/>
    <mergeCell ref="A4:A5"/>
    <mergeCell ref="B4:B5"/>
    <mergeCell ref="B6:B7"/>
    <mergeCell ref="P6:P7"/>
  </mergeCells>
  <drawing r:id="rId1"/>
</worksheet>
</file>